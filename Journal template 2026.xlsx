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rilren/Downloads/"/>
    </mc:Choice>
  </mc:AlternateContent>
  <xr:revisionPtr revIDLastSave="0" documentId="8_{A94480CE-7DBC-9849-B1B3-46CF241A1254}" xr6:coauthVersionLast="47" xr6:coauthVersionMax="47" xr10:uidLastSave="{00000000-0000-0000-0000-000000000000}"/>
  <bookViews>
    <workbookView xWindow="4420" yWindow="660" windowWidth="25020" windowHeight="17020" xr2:uid="{00000000-000D-0000-FFFF-FFFF00000000}"/>
  </bookViews>
  <sheets>
    <sheet name="Closing levels" sheetId="1" r:id="rId1"/>
    <sheet name="US Equities" sheetId="2" r:id="rId2"/>
    <sheet name="WTI Crude" sheetId="4" r:id="rId3"/>
    <sheet name="US Tsy 10yr yiel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<sst xmlns="http://schemas.openxmlformats.org/spreadsheetml/2006/main" count="8" uniqueCount="8">
  <si>
    <t>DOW</t>
  </si>
  <si>
    <t>DATE</t>
  </si>
  <si>
    <t>S&amp;P</t>
  </si>
  <si>
    <t>US 10 YR (%)</t>
  </si>
  <si>
    <t>WTI Crude Oil</t>
  </si>
  <si>
    <t>This row is a sample from 2025. Delete this row before submitting!</t>
  </si>
  <si>
    <r>
      <rPr>
        <b/>
        <i/>
        <sz val="10"/>
        <color theme="1"/>
        <rFont val="Calibri"/>
        <family val="2"/>
        <scheme val="minor"/>
      </rPr>
      <t xml:space="preserve">Short </t>
    </r>
    <r>
      <rPr>
        <b/>
        <sz val="10"/>
        <color theme="1"/>
        <rFont val="Calibri"/>
        <family val="2"/>
        <scheme val="minor"/>
      </rPr>
      <t>DAILY NEWS ITEM(S) that affected one or more of today's prices</t>
    </r>
  </si>
  <si>
    <t xml:space="preserve">S&amp;P 500 reached record highs due to positive news about AI &amp; reduced inflation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</si>
</sst>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0.000"/>
    <numFmt numFmtId="166" formatCode="0.00_);\(0.0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3" tint="-0.249977111117893"/>
      <name val="Calibri"/>
      <family val="2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5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left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164" fontId="5" fillId="2" borderId="1" xfId="0" applyNumberFormat="1" applyFont="1" applyFill="1" applyBorder="1" applyAlignment="1">
      <alignment horizontal="left" vertical="top"/>
    </xf>
    <xf numFmtId="166" fontId="6" fillId="2" borderId="1" xfId="1" applyNumberFormat="1" applyFont="1" applyFill="1" applyBorder="1" applyAlignment="1">
      <alignment horizontal="right" wrapText="1"/>
    </xf>
    <xf numFmtId="2" fontId="6" fillId="2" borderId="1" xfId="1" applyNumberFormat="1" applyFont="1" applyFill="1" applyBorder="1" applyAlignment="1">
      <alignment horizontal="right"/>
    </xf>
    <xf numFmtId="165" fontId="6" fillId="2" borderId="1" xfId="1" applyNumberFormat="1" applyFont="1" applyFill="1" applyBorder="1" applyAlignment="1">
      <alignment horizontal="right"/>
    </xf>
    <xf numFmtId="2" fontId="6" fillId="2" borderId="1" xfId="1" applyNumberFormat="1" applyFont="1" applyFill="1" applyBorder="1" applyAlignment="1" applyProtection="1">
      <alignment horizontal="right"/>
      <protection locked="0"/>
    </xf>
    <xf numFmtId="0" fontId="10" fillId="0" borderId="0" xfId="0" applyFont="1" applyAlignment="1">
      <alignment horizontal="left" wrapText="1"/>
    </xf>
    <xf numFmtId="0" fontId="9" fillId="0" borderId="0" xfId="0" applyFont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2" fillId="2" borderId="0" xfId="0" applyFont="1" applyFill="1" applyAlignment="1" applyProtection="1">
      <alignment horizontal="left"/>
      <protection locked="0"/>
    </xf>
    <xf numFmtId="166" fontId="15" fillId="0" borderId="0" xfId="1" applyNumberFormat="1" applyFont="1" applyBorder="1" applyAlignment="1">
      <alignment horizontal="right" wrapText="1"/>
    </xf>
    <xf numFmtId="2" fontId="15" fillId="0" borderId="0" xfId="1" applyNumberFormat="1" applyFont="1" applyBorder="1" applyAlignment="1">
      <alignment horizontal="right"/>
    </xf>
    <xf numFmtId="165" fontId="15" fillId="0" borderId="0" xfId="1" applyNumberFormat="1" applyFont="1" applyBorder="1" applyAlignment="1">
      <alignment horizontal="right"/>
    </xf>
    <xf numFmtId="2" fontId="15" fillId="0" borderId="0" xfId="1" applyNumberFormat="1" applyFont="1" applyFill="1" applyBorder="1" applyAlignment="1" applyProtection="1">
      <alignment horizontal="right"/>
      <protection locked="0"/>
    </xf>
    <xf numFmtId="2" fontId="16" fillId="0" borderId="0" xfId="1" applyNumberFormat="1" applyFont="1" applyFill="1" applyBorder="1" applyAlignment="1" applyProtection="1">
      <alignment horizontal="right"/>
      <protection locked="0"/>
    </xf>
    <xf numFmtId="165" fontId="15" fillId="0" borderId="0" xfId="1" applyNumberFormat="1" applyFont="1" applyFill="1" applyBorder="1" applyAlignment="1">
      <alignment horizontal="right"/>
    </xf>
    <xf numFmtId="165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> Equities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'Closing levels'!$B$1</c:f>
              <c:strCache>
                <c:ptCount val="1"/>
                <c:pt idx="0">
                  <c:v>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'Closing levels'!$A$3:$A$58</c:f>
              <c:numCache>
                <c:formatCode>[$-F800]dddd\,\ mmmm\ dd\,\ yyyy</c:formatCode>
                <c:ptCount val="56"/>
                <c:pt idx="0">
                  <c:v>46269</c:v>
                </c:pt>
                <c:pt idx="1">
                  <c:v>46272</c:v>
                </c:pt>
                <c:pt idx="2">
                  <c:v>46273</c:v>
                </c:pt>
                <c:pt idx="3">
                  <c:v>46274</c:v>
                </c:pt>
                <c:pt idx="4">
                  <c:v>46275</c:v>
                </c:pt>
                <c:pt idx="5">
                  <c:v>46276</c:v>
                </c:pt>
                <c:pt idx="6">
                  <c:v>46279</c:v>
                </c:pt>
                <c:pt idx="7">
                  <c:v>46280</c:v>
                </c:pt>
                <c:pt idx="8">
                  <c:v>46281</c:v>
                </c:pt>
                <c:pt idx="9">
                  <c:v>46282</c:v>
                </c:pt>
                <c:pt idx="10">
                  <c:v>46283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46293</c:v>
                </c:pt>
                <c:pt idx="17">
                  <c:v>46294</c:v>
                </c:pt>
                <c:pt idx="18">
                  <c:v>46295</c:v>
                </c:pt>
                <c:pt idx="19">
                  <c:v>46296</c:v>
                </c:pt>
                <c:pt idx="20">
                  <c:v>46297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46307</c:v>
                </c:pt>
                <c:pt idx="27">
                  <c:v>46308</c:v>
                </c:pt>
                <c:pt idx="28">
                  <c:v>46309</c:v>
                </c:pt>
                <c:pt idx="29">
                  <c:v>46310</c:v>
                </c:pt>
                <c:pt idx="30">
                  <c:v>46311</c:v>
                </c:pt>
                <c:pt idx="31">
                  <c:v>46314</c:v>
                </c:pt>
                <c:pt idx="32">
                  <c:v>46315</c:v>
                </c:pt>
                <c:pt idx="33">
                  <c:v>46316</c:v>
                </c:pt>
                <c:pt idx="34">
                  <c:v>46317</c:v>
                </c:pt>
                <c:pt idx="35">
                  <c:v>46318</c:v>
                </c:pt>
                <c:pt idx="36">
                  <c:v>46321</c:v>
                </c:pt>
                <c:pt idx="37">
                  <c:v>46322</c:v>
                </c:pt>
                <c:pt idx="38">
                  <c:v>46323</c:v>
                </c:pt>
                <c:pt idx="39">
                  <c:v>46324</c:v>
                </c:pt>
                <c:pt idx="40">
                  <c:v>46325</c:v>
                </c:pt>
                <c:pt idx="41">
                  <c:v>46328</c:v>
                </c:pt>
                <c:pt idx="42">
                  <c:v>46329</c:v>
                </c:pt>
                <c:pt idx="43">
                  <c:v>46330</c:v>
                </c:pt>
                <c:pt idx="44">
                  <c:v>46331</c:v>
                </c:pt>
                <c:pt idx="45">
                  <c:v>46332</c:v>
                </c:pt>
                <c:pt idx="46">
                  <c:v>46335</c:v>
                </c:pt>
                <c:pt idx="47">
                  <c:v>46336</c:v>
                </c:pt>
                <c:pt idx="48">
                  <c:v>46337</c:v>
                </c:pt>
                <c:pt idx="49">
                  <c:v>46338</c:v>
                </c:pt>
                <c:pt idx="50">
                  <c:v>46339</c:v>
                </c:pt>
                <c:pt idx="51">
                  <c:v>46342</c:v>
                </c:pt>
                <c:pt idx="52">
                  <c:v>46343</c:v>
                </c:pt>
                <c:pt idx="53">
                  <c:v>46344</c:v>
                </c:pt>
                <c:pt idx="54">
                  <c:v>46345</c:v>
                </c:pt>
                <c:pt idx="55">
                  <c:v>46346</c:v>
                </c:pt>
              </c:numCache>
            </c:numRef>
          </c:cat>
          <c:val>
            <c:numRef>
              <c:f>'Closing levels'!$B$3:$B$58</c:f>
              <c:numCache>
                <c:formatCode>0.00_);\(0.00\)</c:formatCode>
                <c:ptCount val="5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30-4794-AAB1-02A58526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860031"/>
        <c:axId val="1427858111"/>
      </c:lineChart>
      <c:lineChart>
        <c:grouping val="standard"/>
        <c:varyColors val="0"/>
        <c:ser>
          <c:idx val="1"/>
          <c:order val="1"/>
          <c:tx>
            <c:strRef>
              <c:f>'Closing levels'!$C$1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'Closing levels'!$A$3:$A$58</c:f>
              <c:numCache>
                <c:formatCode>[$-F800]dddd\,\ mmmm\ dd\,\ yyyy</c:formatCode>
                <c:ptCount val="56"/>
                <c:pt idx="0">
                  <c:v>46269</c:v>
                </c:pt>
                <c:pt idx="1">
                  <c:v>46272</c:v>
                </c:pt>
                <c:pt idx="2">
                  <c:v>46273</c:v>
                </c:pt>
                <c:pt idx="3">
                  <c:v>46274</c:v>
                </c:pt>
                <c:pt idx="4">
                  <c:v>46275</c:v>
                </c:pt>
                <c:pt idx="5">
                  <c:v>46276</c:v>
                </c:pt>
                <c:pt idx="6">
                  <c:v>46279</c:v>
                </c:pt>
                <c:pt idx="7">
                  <c:v>46280</c:v>
                </c:pt>
                <c:pt idx="8">
                  <c:v>46281</c:v>
                </c:pt>
                <c:pt idx="9">
                  <c:v>46282</c:v>
                </c:pt>
                <c:pt idx="10">
                  <c:v>46283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46293</c:v>
                </c:pt>
                <c:pt idx="17">
                  <c:v>46294</c:v>
                </c:pt>
                <c:pt idx="18">
                  <c:v>46295</c:v>
                </c:pt>
                <c:pt idx="19">
                  <c:v>46296</c:v>
                </c:pt>
                <c:pt idx="20">
                  <c:v>46297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46307</c:v>
                </c:pt>
                <c:pt idx="27">
                  <c:v>46308</c:v>
                </c:pt>
                <c:pt idx="28">
                  <c:v>46309</c:v>
                </c:pt>
                <c:pt idx="29">
                  <c:v>46310</c:v>
                </c:pt>
                <c:pt idx="30">
                  <c:v>46311</c:v>
                </c:pt>
                <c:pt idx="31">
                  <c:v>46314</c:v>
                </c:pt>
                <c:pt idx="32">
                  <c:v>46315</c:v>
                </c:pt>
                <c:pt idx="33">
                  <c:v>46316</c:v>
                </c:pt>
                <c:pt idx="34">
                  <c:v>46317</c:v>
                </c:pt>
                <c:pt idx="35">
                  <c:v>46318</c:v>
                </c:pt>
                <c:pt idx="36">
                  <c:v>46321</c:v>
                </c:pt>
                <c:pt idx="37">
                  <c:v>46322</c:v>
                </c:pt>
                <c:pt idx="38">
                  <c:v>46323</c:v>
                </c:pt>
                <c:pt idx="39">
                  <c:v>46324</c:v>
                </c:pt>
                <c:pt idx="40">
                  <c:v>46325</c:v>
                </c:pt>
                <c:pt idx="41">
                  <c:v>46328</c:v>
                </c:pt>
                <c:pt idx="42">
                  <c:v>46329</c:v>
                </c:pt>
                <c:pt idx="43">
                  <c:v>46330</c:v>
                </c:pt>
                <c:pt idx="44">
                  <c:v>46331</c:v>
                </c:pt>
                <c:pt idx="45">
                  <c:v>46332</c:v>
                </c:pt>
                <c:pt idx="46">
                  <c:v>46335</c:v>
                </c:pt>
                <c:pt idx="47">
                  <c:v>46336</c:v>
                </c:pt>
                <c:pt idx="48">
                  <c:v>46337</c:v>
                </c:pt>
                <c:pt idx="49">
                  <c:v>46338</c:v>
                </c:pt>
                <c:pt idx="50">
                  <c:v>46339</c:v>
                </c:pt>
                <c:pt idx="51">
                  <c:v>46342</c:v>
                </c:pt>
                <c:pt idx="52">
                  <c:v>46343</c:v>
                </c:pt>
                <c:pt idx="53">
                  <c:v>46344</c:v>
                </c:pt>
                <c:pt idx="54">
                  <c:v>46345</c:v>
                </c:pt>
                <c:pt idx="55">
                  <c:v>46346</c:v>
                </c:pt>
              </c:numCache>
            </c:numRef>
          </c:cat>
          <c:val>
            <c:numRef>
              <c:f>'Closing levels'!$C$3:$C$58</c:f>
              <c:numCache>
                <c:formatCode>0.00</c:formatCode>
                <c:ptCount val="5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0-4794-AAB1-02A58526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163887"/>
        <c:axId val="313628607"/>
      </c:lineChart>
      <c:dateAx>
        <c:axId val="14278600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58111"/>
        <c:crosses val="autoZero"/>
        <c:auto val="1"/>
        <c:lblOffset val="100"/>
        <c:baseTimeUnit val="days"/>
        <c:majorUnit val="14"/>
        <c:majorTimeUnit val="days"/>
      </c:dateAx>
      <c:valAx>
        <c:axId val="14278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</a:t>
                </a:r>
                <a:r>
                  <a:rPr lang="en-US" baseline="0"/>
                  <a:t> Jones Industrial Average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_);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60031"/>
        <c:crosses val="autoZero"/>
        <c:crossBetween val="between"/>
      </c:valAx>
      <c:valAx>
        <c:axId val="3136286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63887"/>
        <c:crosses val="max"/>
        <c:crossBetween val="between"/>
      </c:valAx>
      <c:dateAx>
        <c:axId val="313163887"/>
        <c:scaling>
          <c:orientation val="minMax"/>
        </c:scaling>
        <c:delete val="1"/>
        <c:axPos val="b"/>
        <c:numFmt formatCode="[$-F800]dddd\,\ mmmm\ dd\,\ yyyy" sourceLinked="1"/>
        <c:majorTickMark val="out"/>
        <c:minorTickMark val="none"/>
        <c:tickLblPos val="nextTo"/>
        <c:crossAx val="3136286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(WTI Crude)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323144512791548E-2"/>
          <c:y val="0.12795260699952979"/>
          <c:w val="0.87916757400855383"/>
          <c:h val="0.73457291036559791"/>
        </c:manualLayout>
      </c:layout>
      <c:lineChart>
        <c:grouping val="standard"/>
        <c:varyColors val="0"/>
        <c:ser>
          <c:idx val="2"/>
          <c:order val="0"/>
          <c:tx>
            <c:strRef>
              <c:f>'Closing levels'!$E$1</c:f>
              <c:strCache>
                <c:ptCount val="1"/>
                <c:pt idx="0">
                  <c:v>WTI Crude Oil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'Closing levels'!$A$3:$A$58</c:f>
              <c:numCache>
                <c:formatCode>[$-F800]dddd\,\ mmmm\ dd\,\ yyyy</c:formatCode>
                <c:ptCount val="56"/>
                <c:pt idx="0">
                  <c:v>46269</c:v>
                </c:pt>
                <c:pt idx="1">
                  <c:v>46272</c:v>
                </c:pt>
                <c:pt idx="2">
                  <c:v>46273</c:v>
                </c:pt>
                <c:pt idx="3">
                  <c:v>46274</c:v>
                </c:pt>
                <c:pt idx="4">
                  <c:v>46275</c:v>
                </c:pt>
                <c:pt idx="5">
                  <c:v>46276</c:v>
                </c:pt>
                <c:pt idx="6">
                  <c:v>46279</c:v>
                </c:pt>
                <c:pt idx="7">
                  <c:v>46280</c:v>
                </c:pt>
                <c:pt idx="8">
                  <c:v>46281</c:v>
                </c:pt>
                <c:pt idx="9">
                  <c:v>46282</c:v>
                </c:pt>
                <c:pt idx="10">
                  <c:v>46283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46293</c:v>
                </c:pt>
                <c:pt idx="17">
                  <c:v>46294</c:v>
                </c:pt>
                <c:pt idx="18">
                  <c:v>46295</c:v>
                </c:pt>
                <c:pt idx="19">
                  <c:v>46296</c:v>
                </c:pt>
                <c:pt idx="20">
                  <c:v>46297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46307</c:v>
                </c:pt>
                <c:pt idx="27">
                  <c:v>46308</c:v>
                </c:pt>
                <c:pt idx="28">
                  <c:v>46309</c:v>
                </c:pt>
                <c:pt idx="29">
                  <c:v>46310</c:v>
                </c:pt>
                <c:pt idx="30">
                  <c:v>46311</c:v>
                </c:pt>
                <c:pt idx="31">
                  <c:v>46314</c:v>
                </c:pt>
                <c:pt idx="32">
                  <c:v>46315</c:v>
                </c:pt>
                <c:pt idx="33">
                  <c:v>46316</c:v>
                </c:pt>
                <c:pt idx="34">
                  <c:v>46317</c:v>
                </c:pt>
                <c:pt idx="35">
                  <c:v>46318</c:v>
                </c:pt>
                <c:pt idx="36">
                  <c:v>46321</c:v>
                </c:pt>
                <c:pt idx="37">
                  <c:v>46322</c:v>
                </c:pt>
                <c:pt idx="38">
                  <c:v>46323</c:v>
                </c:pt>
                <c:pt idx="39">
                  <c:v>46324</c:v>
                </c:pt>
                <c:pt idx="40">
                  <c:v>46325</c:v>
                </c:pt>
                <c:pt idx="41">
                  <c:v>46328</c:v>
                </c:pt>
                <c:pt idx="42">
                  <c:v>46329</c:v>
                </c:pt>
                <c:pt idx="43">
                  <c:v>46330</c:v>
                </c:pt>
                <c:pt idx="44">
                  <c:v>46331</c:v>
                </c:pt>
                <c:pt idx="45">
                  <c:v>46332</c:v>
                </c:pt>
                <c:pt idx="46">
                  <c:v>46335</c:v>
                </c:pt>
                <c:pt idx="47">
                  <c:v>46336</c:v>
                </c:pt>
                <c:pt idx="48">
                  <c:v>46337</c:v>
                </c:pt>
                <c:pt idx="49">
                  <c:v>46338</c:v>
                </c:pt>
                <c:pt idx="50">
                  <c:v>46339</c:v>
                </c:pt>
                <c:pt idx="51">
                  <c:v>46342</c:v>
                </c:pt>
                <c:pt idx="52">
                  <c:v>46343</c:v>
                </c:pt>
                <c:pt idx="53">
                  <c:v>46344</c:v>
                </c:pt>
                <c:pt idx="54">
                  <c:v>46345</c:v>
                </c:pt>
                <c:pt idx="55">
                  <c:v>46346</c:v>
                </c:pt>
              </c:numCache>
            </c:numRef>
          </c:cat>
          <c:val>
            <c:numRef>
              <c:f>'Closing levels'!$E$3:$E$58</c:f>
              <c:numCache>
                <c:formatCode>0.00</c:formatCode>
                <c:ptCount val="5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7-4AAF-BA83-999C3E75B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860031"/>
        <c:axId val="1427858111"/>
      </c:lineChart>
      <c:dateAx>
        <c:axId val="14278600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58111"/>
        <c:crosses val="autoZero"/>
        <c:auto val="1"/>
        <c:lblOffset val="100"/>
        <c:baseTimeUnit val="days"/>
        <c:majorUnit val="14"/>
        <c:majorTimeUnit val="days"/>
      </c:dateAx>
      <c:valAx>
        <c:axId val="14278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);\(0.0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6003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> 10yr Tsy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'Closing levels'!$D$1</c:f>
              <c:strCache>
                <c:ptCount val="1"/>
                <c:pt idx="0">
                  <c:v>US 10 YR (%)</c:v>
                </c:pt>
              </c:strCache>
            </c:strRef>
          </c:tx>
          <c:marker>
            <c:symbol val="none"/>
          </c:marker>
          <c:cat>
            <c:numRef>
              <c:f>'Closing levels'!$A$3:$A$58</c:f>
              <c:numCache>
                <c:formatCode>[$-F800]dddd\,\ mmmm\ dd\,\ yyyy</c:formatCode>
                <c:ptCount val="56"/>
                <c:pt idx="0">
                  <c:v>46269</c:v>
                </c:pt>
                <c:pt idx="1">
                  <c:v>46272</c:v>
                </c:pt>
                <c:pt idx="2">
                  <c:v>46273</c:v>
                </c:pt>
                <c:pt idx="3">
                  <c:v>46274</c:v>
                </c:pt>
                <c:pt idx="4">
                  <c:v>46275</c:v>
                </c:pt>
                <c:pt idx="5">
                  <c:v>46276</c:v>
                </c:pt>
                <c:pt idx="6">
                  <c:v>46279</c:v>
                </c:pt>
                <c:pt idx="7">
                  <c:v>46280</c:v>
                </c:pt>
                <c:pt idx="8">
                  <c:v>46281</c:v>
                </c:pt>
                <c:pt idx="9">
                  <c:v>46282</c:v>
                </c:pt>
                <c:pt idx="10">
                  <c:v>46283</c:v>
                </c:pt>
                <c:pt idx="11">
                  <c:v>46286</c:v>
                </c:pt>
                <c:pt idx="12">
                  <c:v>46287</c:v>
                </c:pt>
                <c:pt idx="13">
                  <c:v>46288</c:v>
                </c:pt>
                <c:pt idx="14">
                  <c:v>46289</c:v>
                </c:pt>
                <c:pt idx="15">
                  <c:v>46290</c:v>
                </c:pt>
                <c:pt idx="16">
                  <c:v>46293</c:v>
                </c:pt>
                <c:pt idx="17">
                  <c:v>46294</c:v>
                </c:pt>
                <c:pt idx="18">
                  <c:v>46295</c:v>
                </c:pt>
                <c:pt idx="19">
                  <c:v>46296</c:v>
                </c:pt>
                <c:pt idx="20">
                  <c:v>46297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46307</c:v>
                </c:pt>
                <c:pt idx="27">
                  <c:v>46308</c:v>
                </c:pt>
                <c:pt idx="28">
                  <c:v>46309</c:v>
                </c:pt>
                <c:pt idx="29">
                  <c:v>46310</c:v>
                </c:pt>
                <c:pt idx="30">
                  <c:v>46311</c:v>
                </c:pt>
                <c:pt idx="31">
                  <c:v>46314</c:v>
                </c:pt>
                <c:pt idx="32">
                  <c:v>46315</c:v>
                </c:pt>
                <c:pt idx="33">
                  <c:v>46316</c:v>
                </c:pt>
                <c:pt idx="34">
                  <c:v>46317</c:v>
                </c:pt>
                <c:pt idx="35">
                  <c:v>46318</c:v>
                </c:pt>
                <c:pt idx="36">
                  <c:v>46321</c:v>
                </c:pt>
                <c:pt idx="37">
                  <c:v>46322</c:v>
                </c:pt>
                <c:pt idx="38">
                  <c:v>46323</c:v>
                </c:pt>
                <c:pt idx="39">
                  <c:v>46324</c:v>
                </c:pt>
                <c:pt idx="40">
                  <c:v>46325</c:v>
                </c:pt>
                <c:pt idx="41">
                  <c:v>46328</c:v>
                </c:pt>
                <c:pt idx="42">
                  <c:v>46329</c:v>
                </c:pt>
                <c:pt idx="43">
                  <c:v>46330</c:v>
                </c:pt>
                <c:pt idx="44">
                  <c:v>46331</c:v>
                </c:pt>
                <c:pt idx="45">
                  <c:v>46332</c:v>
                </c:pt>
                <c:pt idx="46">
                  <c:v>46335</c:v>
                </c:pt>
                <c:pt idx="47">
                  <c:v>46336</c:v>
                </c:pt>
                <c:pt idx="48">
                  <c:v>46337</c:v>
                </c:pt>
                <c:pt idx="49">
                  <c:v>46338</c:v>
                </c:pt>
                <c:pt idx="50">
                  <c:v>46339</c:v>
                </c:pt>
                <c:pt idx="51">
                  <c:v>46342</c:v>
                </c:pt>
                <c:pt idx="52">
                  <c:v>46343</c:v>
                </c:pt>
                <c:pt idx="53">
                  <c:v>46344</c:v>
                </c:pt>
                <c:pt idx="54">
                  <c:v>46345</c:v>
                </c:pt>
                <c:pt idx="55">
                  <c:v>46346</c:v>
                </c:pt>
              </c:numCache>
            </c:numRef>
          </c:cat>
          <c:val>
            <c:numRef>
              <c:f>'Closing levels'!$D$3:$D$58</c:f>
              <c:numCache>
                <c:formatCode>0.000</c:formatCode>
                <c:ptCount val="5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B-4A7C-818C-152DC2816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860031"/>
        <c:axId val="1427858111"/>
      </c:lineChart>
      <c:dateAx>
        <c:axId val="14278600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58111"/>
        <c:crosses val="autoZero"/>
        <c:auto val="1"/>
        <c:lblOffset val="100"/>
        <c:baseTimeUnit val="days"/>
        <c:majorUnit val="14"/>
        <c:majorTimeUnit val="days"/>
      </c:dateAx>
      <c:valAx>
        <c:axId val="14278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);\(0.0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6003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568258</xdr:colOff>
      <xdr:row>21</xdr:row>
      <xdr:rowOff>112003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B97422-FCA8-4737-8B7C-7FFE09C29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79308</xdr:colOff>
      <xdr:row>21</xdr:row>
      <xdr:rowOff>112003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D7D2C-1303-4C49-BF28-D3A6F6D95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79308</xdr:colOff>
      <xdr:row>21</xdr:row>
      <xdr:rowOff>112003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F31A5-96BD-47C3-AF50-03B70DB92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94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29" style="2" customWidth="1"/>
    <col min="2" max="2" width="11.1640625" style="1" customWidth="1"/>
    <col min="3" max="3" width="9.33203125" style="1" customWidth="1"/>
    <col min="4" max="4" width="10.83203125" style="1" customWidth="1"/>
    <col min="5" max="5" width="12.5" style="1" customWidth="1"/>
    <col min="6" max="6" width="49.6640625" style="27" customWidth="1"/>
  </cols>
  <sheetData>
    <row r="1" spans="1:8" s="33" customFormat="1" ht="37.5" customHeight="1" x14ac:dyDescent="0.2">
      <c r="A1" s="18" t="s">
        <v>1</v>
      </c>
      <c r="B1" s="5" t="s">
        <v>0</v>
      </c>
      <c r="C1" s="5" t="s">
        <v>2</v>
      </c>
      <c r="D1" s="6" t="s">
        <v>3</v>
      </c>
      <c r="E1" s="5" t="s">
        <v>4</v>
      </c>
      <c r="F1" s="26" t="s">
        <v>6</v>
      </c>
    </row>
    <row r="2" spans="1:8" s="33" customFormat="1" ht="16.5" customHeight="1" x14ac:dyDescent="0.2">
      <c r="A2" s="21">
        <v>45905</v>
      </c>
      <c r="B2" s="22">
        <v>45400.86</v>
      </c>
      <c r="C2" s="23">
        <v>6481.5</v>
      </c>
      <c r="D2" s="24">
        <v>4.077</v>
      </c>
      <c r="E2" s="25">
        <v>65.5</v>
      </c>
      <c r="F2" s="36" t="s">
        <v>7</v>
      </c>
      <c r="G2" s="44" t="s">
        <v>5</v>
      </c>
    </row>
    <row r="3" spans="1:8" s="33" customFormat="1" x14ac:dyDescent="0.2">
      <c r="A3" s="4">
        <v>46269</v>
      </c>
      <c r="B3" s="37"/>
      <c r="C3" s="38"/>
      <c r="D3" s="39"/>
      <c r="E3" s="40"/>
      <c r="F3" s="28"/>
    </row>
    <row r="4" spans="1:8" s="34" customFormat="1" x14ac:dyDescent="0.2">
      <c r="A4" s="4">
        <v>46272</v>
      </c>
      <c r="B4" s="37"/>
      <c r="C4" s="38"/>
      <c r="D4" s="39"/>
      <c r="E4" s="41"/>
      <c r="F4" s="29"/>
    </row>
    <row r="5" spans="1:8" s="34" customFormat="1" x14ac:dyDescent="0.2">
      <c r="A5" s="3">
        <f>A4+1</f>
        <v>46273</v>
      </c>
      <c r="B5" s="37"/>
      <c r="C5" s="38"/>
      <c r="D5" s="39"/>
      <c r="E5" s="41"/>
      <c r="F5" s="29"/>
    </row>
    <row r="6" spans="1:8" s="1" customFormat="1" x14ac:dyDescent="0.2">
      <c r="A6" s="3">
        <f>A5+1</f>
        <v>46274</v>
      </c>
      <c r="B6" s="37"/>
      <c r="C6" s="38"/>
      <c r="D6" s="39"/>
      <c r="E6" s="41"/>
      <c r="F6" s="30"/>
    </row>
    <row r="7" spans="1:8" s="35" customFormat="1" x14ac:dyDescent="0.2">
      <c r="A7" s="3">
        <f>A6+1</f>
        <v>46275</v>
      </c>
      <c r="B7" s="37"/>
      <c r="C7" s="38"/>
      <c r="D7" s="39"/>
      <c r="E7" s="41"/>
      <c r="F7" s="31"/>
    </row>
    <row r="8" spans="1:8" s="1" customFormat="1" x14ac:dyDescent="0.2">
      <c r="A8" s="3">
        <f>A7+1</f>
        <v>46276</v>
      </c>
      <c r="B8" s="37"/>
      <c r="C8" s="38"/>
      <c r="D8" s="39"/>
      <c r="E8" s="41"/>
      <c r="F8" s="30"/>
      <c r="H8" s="35"/>
    </row>
    <row r="9" spans="1:8" x14ac:dyDescent="0.2">
      <c r="A9" s="3">
        <f>A8+3</f>
        <v>46279</v>
      </c>
      <c r="B9" s="37"/>
      <c r="C9" s="38"/>
      <c r="D9" s="39"/>
      <c r="E9" s="41"/>
      <c r="F9" s="32"/>
    </row>
    <row r="10" spans="1:8" x14ac:dyDescent="0.2">
      <c r="A10" s="3">
        <f>A9+1</f>
        <v>46280</v>
      </c>
      <c r="B10" s="37"/>
      <c r="C10" s="38"/>
      <c r="D10" s="39"/>
      <c r="E10" s="41"/>
      <c r="F10" s="32"/>
    </row>
    <row r="11" spans="1:8" x14ac:dyDescent="0.2">
      <c r="A11" s="3">
        <f>A10+1</f>
        <v>46281</v>
      </c>
      <c r="B11" s="37"/>
      <c r="C11" s="38"/>
      <c r="D11" s="39"/>
      <c r="E11" s="41"/>
      <c r="F11" s="32"/>
    </row>
    <row r="12" spans="1:8" x14ac:dyDescent="0.2">
      <c r="A12" s="3">
        <f>A11+1</f>
        <v>46282</v>
      </c>
      <c r="B12" s="37"/>
      <c r="C12" s="38"/>
      <c r="D12" s="39"/>
      <c r="E12" s="41"/>
      <c r="F12" s="32"/>
    </row>
    <row r="13" spans="1:8" x14ac:dyDescent="0.2">
      <c r="A13" s="3">
        <f>A12+1</f>
        <v>46283</v>
      </c>
      <c r="B13" s="37"/>
      <c r="C13" s="38"/>
      <c r="D13" s="39"/>
      <c r="E13" s="41"/>
      <c r="F13" s="32"/>
    </row>
    <row r="14" spans="1:8" x14ac:dyDescent="0.2">
      <c r="A14" s="3">
        <f>A13+3</f>
        <v>46286</v>
      </c>
      <c r="B14" s="37"/>
      <c r="C14" s="38"/>
      <c r="D14" s="39"/>
      <c r="E14" s="41"/>
      <c r="F14" s="32"/>
    </row>
    <row r="15" spans="1:8" x14ac:dyDescent="0.2">
      <c r="A15" s="3">
        <f>A14+1</f>
        <v>46287</v>
      </c>
      <c r="B15" s="37"/>
      <c r="C15" s="38"/>
      <c r="D15" s="39"/>
      <c r="E15" s="41"/>
      <c r="F15" s="32"/>
    </row>
    <row r="16" spans="1:8" x14ac:dyDescent="0.2">
      <c r="A16" s="3">
        <f>A15+1</f>
        <v>46288</v>
      </c>
      <c r="B16" s="37"/>
      <c r="C16" s="38"/>
      <c r="D16" s="39"/>
      <c r="E16" s="41"/>
      <c r="F16" s="32"/>
    </row>
    <row r="17" spans="1:6" x14ac:dyDescent="0.2">
      <c r="A17" s="3">
        <f>A16+1</f>
        <v>46289</v>
      </c>
      <c r="B17" s="37"/>
      <c r="C17" s="38"/>
      <c r="D17" s="39"/>
      <c r="E17" s="41"/>
      <c r="F17" s="32"/>
    </row>
    <row r="18" spans="1:6" x14ac:dyDescent="0.2">
      <c r="A18" s="3">
        <f>A17+1</f>
        <v>46290</v>
      </c>
      <c r="B18" s="37"/>
      <c r="C18" s="38"/>
      <c r="D18" s="39"/>
      <c r="E18" s="41"/>
      <c r="F18" s="32"/>
    </row>
    <row r="19" spans="1:6" x14ac:dyDescent="0.2">
      <c r="A19" s="3">
        <f>A18+3</f>
        <v>46293</v>
      </c>
      <c r="B19" s="37"/>
      <c r="C19" s="38"/>
      <c r="D19" s="39"/>
      <c r="E19" s="41"/>
      <c r="F19" s="32"/>
    </row>
    <row r="20" spans="1:6" x14ac:dyDescent="0.2">
      <c r="A20" s="3">
        <f>A19+1</f>
        <v>46294</v>
      </c>
      <c r="B20" s="37"/>
      <c r="C20" s="38"/>
      <c r="D20" s="39"/>
      <c r="E20" s="41"/>
      <c r="F20" s="32"/>
    </row>
    <row r="21" spans="1:6" x14ac:dyDescent="0.2">
      <c r="A21" s="3">
        <f>A20+1</f>
        <v>46295</v>
      </c>
      <c r="B21" s="37"/>
      <c r="C21" s="38"/>
      <c r="D21" s="39"/>
      <c r="E21" s="41"/>
      <c r="F21" s="32"/>
    </row>
    <row r="22" spans="1:6" x14ac:dyDescent="0.2">
      <c r="A22" s="3">
        <f>A21+1</f>
        <v>46296</v>
      </c>
      <c r="B22" s="37"/>
      <c r="C22" s="38"/>
      <c r="D22" s="39"/>
      <c r="E22" s="41"/>
      <c r="F22" s="32"/>
    </row>
    <row r="23" spans="1:6" x14ac:dyDescent="0.2">
      <c r="A23" s="3">
        <f>A22+1</f>
        <v>46297</v>
      </c>
      <c r="B23" s="37"/>
      <c r="C23" s="38"/>
      <c r="D23" s="39"/>
      <c r="E23" s="41"/>
      <c r="F23" s="32"/>
    </row>
    <row r="24" spans="1:6" x14ac:dyDescent="0.2">
      <c r="A24" s="3">
        <f>A23+3</f>
        <v>46300</v>
      </c>
      <c r="B24" s="37"/>
      <c r="C24" s="38"/>
      <c r="D24" s="39"/>
      <c r="E24" s="41"/>
      <c r="F24" s="32"/>
    </row>
    <row r="25" spans="1:6" x14ac:dyDescent="0.2">
      <c r="A25" s="3">
        <f>A24+1</f>
        <v>46301</v>
      </c>
      <c r="B25" s="37"/>
      <c r="C25" s="38"/>
      <c r="D25" s="39"/>
      <c r="E25" s="41"/>
      <c r="F25" s="32"/>
    </row>
    <row r="26" spans="1:6" x14ac:dyDescent="0.2">
      <c r="A26" s="3">
        <f>A25+1</f>
        <v>46302</v>
      </c>
      <c r="B26" s="37"/>
      <c r="C26" s="38"/>
      <c r="D26" s="39"/>
      <c r="E26" s="41"/>
      <c r="F26" s="32"/>
    </row>
    <row r="27" spans="1:6" x14ac:dyDescent="0.2">
      <c r="A27" s="3">
        <f>A26+1</f>
        <v>46303</v>
      </c>
      <c r="B27" s="37"/>
      <c r="C27" s="38"/>
      <c r="D27" s="39"/>
      <c r="E27" s="41"/>
      <c r="F27" s="32"/>
    </row>
    <row r="28" spans="1:6" x14ac:dyDescent="0.2">
      <c r="A28" s="3">
        <f>A27+1</f>
        <v>46304</v>
      </c>
      <c r="B28" s="37"/>
      <c r="C28" s="38"/>
      <c r="D28" s="39"/>
      <c r="E28" s="41"/>
      <c r="F28" s="32"/>
    </row>
    <row r="29" spans="1:6" x14ac:dyDescent="0.2">
      <c r="A29" s="3">
        <f>A28+3</f>
        <v>46307</v>
      </c>
      <c r="B29" s="37"/>
      <c r="C29" s="38"/>
      <c r="D29" s="42"/>
      <c r="E29" s="41"/>
      <c r="F29" s="32"/>
    </row>
    <row r="30" spans="1:6" x14ac:dyDescent="0.2">
      <c r="A30" s="3">
        <f>A29+1</f>
        <v>46308</v>
      </c>
      <c r="B30" s="37"/>
      <c r="C30" s="38"/>
      <c r="D30" s="42"/>
      <c r="E30" s="41"/>
      <c r="F30" s="32"/>
    </row>
    <row r="31" spans="1:6" x14ac:dyDescent="0.2">
      <c r="A31" s="3">
        <f>A30+1</f>
        <v>46309</v>
      </c>
      <c r="B31" s="37"/>
      <c r="C31" s="38"/>
      <c r="D31" s="42"/>
      <c r="E31" s="41"/>
      <c r="F31" s="32"/>
    </row>
    <row r="32" spans="1:6" x14ac:dyDescent="0.2">
      <c r="A32" s="3">
        <f>A31+1</f>
        <v>46310</v>
      </c>
      <c r="B32" s="37"/>
      <c r="C32" s="38"/>
      <c r="D32" s="42"/>
      <c r="E32" s="41"/>
      <c r="F32" s="32"/>
    </row>
    <row r="33" spans="1:6" x14ac:dyDescent="0.2">
      <c r="A33" s="3">
        <f>A32+1</f>
        <v>46311</v>
      </c>
      <c r="B33" s="37"/>
      <c r="C33" s="38"/>
      <c r="D33" s="42"/>
      <c r="E33" s="41"/>
      <c r="F33" s="32"/>
    </row>
    <row r="34" spans="1:6" x14ac:dyDescent="0.2">
      <c r="A34" s="3">
        <f>A33+3</f>
        <v>46314</v>
      </c>
      <c r="B34" s="37"/>
      <c r="C34" s="38"/>
      <c r="D34" s="42"/>
      <c r="E34" s="41"/>
      <c r="F34" s="32"/>
    </row>
    <row r="35" spans="1:6" x14ac:dyDescent="0.2">
      <c r="A35" s="3">
        <f>A34+1</f>
        <v>46315</v>
      </c>
      <c r="B35" s="37"/>
      <c r="C35" s="38"/>
      <c r="D35" s="42"/>
      <c r="E35" s="41"/>
      <c r="F35" s="32"/>
    </row>
    <row r="36" spans="1:6" x14ac:dyDescent="0.2">
      <c r="A36" s="3">
        <f>A35+1</f>
        <v>46316</v>
      </c>
      <c r="B36" s="37"/>
      <c r="C36" s="38"/>
      <c r="D36" s="42"/>
      <c r="E36" s="41"/>
      <c r="F36" s="32"/>
    </row>
    <row r="37" spans="1:6" x14ac:dyDescent="0.2">
      <c r="A37" s="3">
        <f>A36+1</f>
        <v>46317</v>
      </c>
      <c r="B37" s="37"/>
      <c r="C37" s="38"/>
      <c r="D37" s="42"/>
      <c r="E37" s="41"/>
      <c r="F37" s="32"/>
    </row>
    <row r="38" spans="1:6" x14ac:dyDescent="0.2">
      <c r="A38" s="3">
        <f>A37+1</f>
        <v>46318</v>
      </c>
      <c r="B38" s="37"/>
      <c r="C38" s="38"/>
      <c r="D38" s="42"/>
      <c r="E38" s="41"/>
      <c r="F38" s="32"/>
    </row>
    <row r="39" spans="1:6" x14ac:dyDescent="0.2">
      <c r="A39" s="3">
        <f>A38+3</f>
        <v>46321</v>
      </c>
      <c r="B39" s="37"/>
      <c r="C39" s="38"/>
      <c r="D39" s="42"/>
      <c r="E39" s="41"/>
      <c r="F39" s="32"/>
    </row>
    <row r="40" spans="1:6" x14ac:dyDescent="0.2">
      <c r="A40" s="3">
        <f>A39+1</f>
        <v>46322</v>
      </c>
      <c r="B40" s="37"/>
      <c r="C40" s="38"/>
      <c r="D40" s="43"/>
      <c r="E40" s="41"/>
      <c r="F40" s="32"/>
    </row>
    <row r="41" spans="1:6" x14ac:dyDescent="0.2">
      <c r="A41" s="3">
        <f>A40+1</f>
        <v>46323</v>
      </c>
      <c r="B41" s="37"/>
      <c r="C41" s="38"/>
      <c r="D41" s="42"/>
      <c r="E41" s="41"/>
      <c r="F41" s="32"/>
    </row>
    <row r="42" spans="1:6" x14ac:dyDescent="0.2">
      <c r="A42" s="3">
        <f>A41+1</f>
        <v>46324</v>
      </c>
      <c r="B42" s="37"/>
      <c r="C42" s="38"/>
      <c r="D42" s="42"/>
      <c r="E42" s="41"/>
      <c r="F42" s="32"/>
    </row>
    <row r="43" spans="1:6" x14ac:dyDescent="0.2">
      <c r="A43" s="3">
        <f>A42+1</f>
        <v>46325</v>
      </c>
      <c r="B43" s="37"/>
      <c r="C43" s="38"/>
      <c r="D43" s="42"/>
      <c r="E43" s="41"/>
      <c r="F43" s="32"/>
    </row>
    <row r="44" spans="1:6" x14ac:dyDescent="0.2">
      <c r="A44" s="3">
        <f>A43+3</f>
        <v>46328</v>
      </c>
      <c r="B44" s="37"/>
      <c r="C44" s="38"/>
      <c r="D44" s="42"/>
      <c r="E44" s="41"/>
      <c r="F44" s="32"/>
    </row>
    <row r="45" spans="1:6" x14ac:dyDescent="0.2">
      <c r="A45" s="3">
        <f>A44+1</f>
        <v>46329</v>
      </c>
      <c r="B45" s="37"/>
      <c r="C45" s="38"/>
      <c r="D45" s="42"/>
      <c r="E45" s="41"/>
      <c r="F45" s="32"/>
    </row>
    <row r="46" spans="1:6" x14ac:dyDescent="0.2">
      <c r="A46" s="3">
        <f>A45+1</f>
        <v>46330</v>
      </c>
      <c r="B46" s="37"/>
      <c r="C46" s="38"/>
      <c r="D46" s="42"/>
      <c r="E46" s="41"/>
      <c r="F46" s="32"/>
    </row>
    <row r="47" spans="1:6" x14ac:dyDescent="0.2">
      <c r="A47" s="3">
        <f>A46+1</f>
        <v>46331</v>
      </c>
      <c r="B47" s="37"/>
      <c r="C47" s="38"/>
      <c r="D47" s="42"/>
      <c r="E47" s="41"/>
      <c r="F47" s="32"/>
    </row>
    <row r="48" spans="1:6" x14ac:dyDescent="0.2">
      <c r="A48" s="3">
        <f>A47+1</f>
        <v>46332</v>
      </c>
      <c r="B48" s="37"/>
      <c r="C48" s="38"/>
      <c r="D48" s="42"/>
      <c r="E48" s="41"/>
      <c r="F48" s="32"/>
    </row>
    <row r="49" spans="1:6" x14ac:dyDescent="0.2">
      <c r="A49" s="3">
        <f>A48+3</f>
        <v>46335</v>
      </c>
      <c r="B49" s="37"/>
      <c r="C49" s="38"/>
      <c r="D49" s="42"/>
      <c r="E49" s="41"/>
      <c r="F49" s="32"/>
    </row>
    <row r="50" spans="1:6" x14ac:dyDescent="0.2">
      <c r="A50" s="3">
        <f>A49+1</f>
        <v>46336</v>
      </c>
      <c r="B50" s="37"/>
      <c r="C50" s="38"/>
      <c r="D50" s="42"/>
      <c r="E50" s="41"/>
      <c r="F50" s="32"/>
    </row>
    <row r="51" spans="1:6" x14ac:dyDescent="0.2">
      <c r="A51" s="3">
        <f>A50+1</f>
        <v>46337</v>
      </c>
      <c r="B51" s="37"/>
      <c r="C51" s="38"/>
      <c r="D51" s="42"/>
      <c r="E51" s="41"/>
      <c r="F51" s="32"/>
    </row>
    <row r="52" spans="1:6" x14ac:dyDescent="0.2">
      <c r="A52" s="3">
        <f>A51+1</f>
        <v>46338</v>
      </c>
      <c r="B52" s="37"/>
      <c r="C52" s="38"/>
      <c r="D52" s="42"/>
      <c r="E52" s="41"/>
      <c r="F52" s="32"/>
    </row>
    <row r="53" spans="1:6" x14ac:dyDescent="0.2">
      <c r="A53" s="3">
        <f>A52+1</f>
        <v>46339</v>
      </c>
      <c r="B53" s="37"/>
      <c r="C53" s="38"/>
      <c r="D53" s="42"/>
      <c r="E53" s="41"/>
      <c r="F53" s="32"/>
    </row>
    <row r="54" spans="1:6" x14ac:dyDescent="0.2">
      <c r="A54" s="3">
        <f>A53+3</f>
        <v>46342</v>
      </c>
      <c r="B54" s="37"/>
      <c r="C54" s="38"/>
      <c r="D54" s="39"/>
      <c r="E54" s="41"/>
      <c r="F54" s="32"/>
    </row>
    <row r="55" spans="1:6" x14ac:dyDescent="0.2">
      <c r="A55" s="3">
        <f>A54+1</f>
        <v>46343</v>
      </c>
      <c r="B55" s="37"/>
      <c r="C55" s="38"/>
      <c r="D55" s="39"/>
      <c r="E55" s="41"/>
      <c r="F55" s="32"/>
    </row>
    <row r="56" spans="1:6" x14ac:dyDescent="0.2">
      <c r="A56" s="3">
        <f>A55+1</f>
        <v>46344</v>
      </c>
      <c r="B56" s="37"/>
      <c r="C56" s="38"/>
      <c r="D56" s="39"/>
      <c r="E56" s="41"/>
      <c r="F56" s="32"/>
    </row>
    <row r="57" spans="1:6" x14ac:dyDescent="0.2">
      <c r="A57" s="3">
        <f>A56+1</f>
        <v>46345</v>
      </c>
      <c r="B57" s="37"/>
      <c r="C57" s="38"/>
      <c r="D57" s="39"/>
      <c r="E57" s="41"/>
      <c r="F57" s="32"/>
    </row>
    <row r="58" spans="1:6" x14ac:dyDescent="0.2">
      <c r="A58" s="3">
        <f>A57+1</f>
        <v>46346</v>
      </c>
      <c r="B58" s="37"/>
      <c r="C58" s="38"/>
      <c r="D58" s="39"/>
      <c r="E58" s="41"/>
      <c r="F58" s="32"/>
    </row>
    <row r="59" spans="1:6" x14ac:dyDescent="0.2">
      <c r="A59" s="19"/>
    </row>
    <row r="60" spans="1:6" x14ac:dyDescent="0.2">
      <c r="A60" s="19"/>
    </row>
    <row r="61" spans="1:6" x14ac:dyDescent="0.2">
      <c r="A61" s="19"/>
    </row>
    <row r="62" spans="1:6" x14ac:dyDescent="0.2">
      <c r="A62" s="19"/>
    </row>
    <row r="64" spans="1:6" x14ac:dyDescent="0.2">
      <c r="B64" s="7"/>
    </row>
    <row r="68" spans="1:1" x14ac:dyDescent="0.2">
      <c r="A68" s="20"/>
    </row>
  </sheetData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1A9E-2C41-4944-A4B2-B440758AF4E2}">
  <dimension ref="A1:G66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4.83203125" customWidth="1"/>
    <col min="4" max="4" width="13.1640625" style="11" customWidth="1"/>
  </cols>
  <sheetData>
    <row r="1" spans="1:7" x14ac:dyDescent="0.2">
      <c r="A1" s="16"/>
    </row>
    <row r="3" spans="1:7" x14ac:dyDescent="0.2">
      <c r="A3" s="13"/>
      <c r="C3" s="8"/>
      <c r="D3" s="12"/>
      <c r="E3" s="9"/>
      <c r="F3" s="9"/>
      <c r="G3" s="9"/>
    </row>
    <row r="4" spans="1:7" x14ac:dyDescent="0.2">
      <c r="C4" s="8"/>
      <c r="D4" s="12"/>
      <c r="E4" s="9"/>
      <c r="F4" s="9"/>
      <c r="G4" s="9"/>
    </row>
    <row r="5" spans="1:7" x14ac:dyDescent="0.2">
      <c r="A5" s="8"/>
      <c r="C5" s="8"/>
      <c r="D5" s="12"/>
      <c r="E5" s="9"/>
      <c r="F5" s="9"/>
      <c r="G5" s="9"/>
    </row>
    <row r="6" spans="1:7" x14ac:dyDescent="0.2">
      <c r="A6" s="13"/>
      <c r="C6" s="8"/>
      <c r="D6" s="12"/>
      <c r="E6" s="9"/>
      <c r="F6" s="9"/>
      <c r="G6" s="9"/>
    </row>
    <row r="7" spans="1:7" x14ac:dyDescent="0.2">
      <c r="A7" s="8"/>
      <c r="C7" s="8"/>
      <c r="D7" s="12"/>
      <c r="E7" s="9"/>
      <c r="F7" s="9"/>
      <c r="G7" s="9"/>
    </row>
    <row r="8" spans="1:7" x14ac:dyDescent="0.2">
      <c r="A8" s="13"/>
      <c r="C8" s="8"/>
      <c r="D8" s="12"/>
      <c r="E8" s="9"/>
      <c r="F8" s="9"/>
      <c r="G8" s="9"/>
    </row>
    <row r="9" spans="1:7" x14ac:dyDescent="0.2">
      <c r="A9" s="14"/>
      <c r="B9" s="8"/>
      <c r="C9" s="8"/>
      <c r="D9" s="12"/>
      <c r="E9" s="9"/>
      <c r="F9" s="9"/>
      <c r="G9" s="9"/>
    </row>
    <row r="10" spans="1:7" x14ac:dyDescent="0.2">
      <c r="B10" s="8"/>
      <c r="C10" s="8"/>
      <c r="D10" s="12"/>
      <c r="E10" s="9"/>
      <c r="F10" s="9"/>
      <c r="G10" s="9"/>
    </row>
    <row r="11" spans="1:7" x14ac:dyDescent="0.2">
      <c r="A11" s="14"/>
      <c r="B11" s="8"/>
      <c r="C11" s="8"/>
      <c r="D11" s="12"/>
      <c r="E11" s="9"/>
      <c r="F11" s="9"/>
      <c r="G11" s="9"/>
    </row>
    <row r="12" spans="1:7" x14ac:dyDescent="0.2">
      <c r="A12" s="10"/>
      <c r="B12" s="8"/>
      <c r="C12" s="8"/>
      <c r="D12" s="12"/>
      <c r="E12" s="9"/>
      <c r="F12" s="9"/>
      <c r="G12" s="9"/>
    </row>
    <row r="13" spans="1:7" x14ac:dyDescent="0.2">
      <c r="A13" s="14"/>
      <c r="B13" s="8"/>
      <c r="C13" s="8"/>
      <c r="D13" s="12"/>
      <c r="E13" s="9"/>
      <c r="F13" s="9"/>
      <c r="G13" s="9"/>
    </row>
    <row r="14" spans="1:7" x14ac:dyDescent="0.2">
      <c r="A14" s="17"/>
      <c r="B14" s="8"/>
      <c r="C14" s="8"/>
      <c r="D14" s="12"/>
      <c r="E14" s="9"/>
      <c r="F14" s="9"/>
      <c r="G14" s="9"/>
    </row>
    <row r="15" spans="1:7" x14ac:dyDescent="0.2">
      <c r="A15" s="10"/>
      <c r="B15" s="8"/>
      <c r="C15" s="8"/>
      <c r="D15" s="12"/>
      <c r="E15" s="9"/>
      <c r="F15" s="9"/>
      <c r="G15" s="9"/>
    </row>
    <row r="16" spans="1:7" x14ac:dyDescent="0.2">
      <c r="A16" s="15"/>
      <c r="B16" s="8"/>
      <c r="C16" s="8"/>
      <c r="D16" s="12"/>
      <c r="E16" s="9"/>
      <c r="F16" s="9"/>
      <c r="G16" s="9"/>
    </row>
    <row r="17" spans="1:7" x14ac:dyDescent="0.2">
      <c r="A17" s="10"/>
      <c r="B17" s="8"/>
      <c r="C17" s="8"/>
      <c r="D17" s="12"/>
      <c r="E17" s="9"/>
      <c r="F17" s="9"/>
      <c r="G17" s="9"/>
    </row>
    <row r="18" spans="1:7" x14ac:dyDescent="0.2">
      <c r="A18" s="10"/>
      <c r="B18" s="8"/>
      <c r="C18" s="8"/>
      <c r="D18" s="12"/>
      <c r="E18" s="9"/>
      <c r="F18" s="9"/>
      <c r="G18" s="9"/>
    </row>
    <row r="19" spans="1:7" x14ac:dyDescent="0.2">
      <c r="A19" s="10"/>
      <c r="B19" s="8"/>
      <c r="C19" s="8"/>
      <c r="D19" s="12"/>
      <c r="E19" s="9"/>
      <c r="F19" s="9"/>
      <c r="G19" s="9"/>
    </row>
    <row r="20" spans="1:7" x14ac:dyDescent="0.2">
      <c r="A20" s="10"/>
      <c r="B20" s="8"/>
      <c r="C20" s="8"/>
      <c r="D20" s="12"/>
      <c r="E20" s="9"/>
      <c r="F20" s="9"/>
      <c r="G20" s="9"/>
    </row>
    <row r="21" spans="1:7" x14ac:dyDescent="0.2">
      <c r="A21" s="10"/>
      <c r="B21" s="8"/>
      <c r="C21" s="8"/>
      <c r="D21" s="12"/>
      <c r="E21" s="9"/>
      <c r="F21" s="9"/>
      <c r="G21" s="9"/>
    </row>
    <row r="22" spans="1:7" x14ac:dyDescent="0.2">
      <c r="A22" s="10"/>
      <c r="B22" s="8"/>
      <c r="C22" s="8"/>
      <c r="D22" s="12"/>
      <c r="E22" s="9"/>
      <c r="F22" s="9"/>
      <c r="G22" s="9"/>
    </row>
    <row r="23" spans="1:7" x14ac:dyDescent="0.2">
      <c r="A23" s="10"/>
      <c r="B23" s="8"/>
      <c r="C23" s="8"/>
      <c r="D23" s="12"/>
      <c r="E23" s="9"/>
      <c r="F23" s="9"/>
      <c r="G23" s="9"/>
    </row>
    <row r="24" spans="1:7" x14ac:dyDescent="0.2">
      <c r="A24" s="10"/>
      <c r="B24" s="8"/>
      <c r="C24" s="8"/>
      <c r="D24" s="12"/>
      <c r="E24" s="9"/>
      <c r="F24" s="9"/>
      <c r="G24" s="9"/>
    </row>
    <row r="25" spans="1:7" x14ac:dyDescent="0.2">
      <c r="A25" s="10"/>
      <c r="B25" s="8"/>
      <c r="C25" s="8"/>
      <c r="D25" s="12"/>
      <c r="E25" s="9"/>
      <c r="F25" s="9"/>
      <c r="G25" s="9"/>
    </row>
    <row r="26" spans="1:7" x14ac:dyDescent="0.2">
      <c r="A26" s="10"/>
      <c r="B26" s="8"/>
      <c r="C26" s="8"/>
      <c r="D26" s="12"/>
      <c r="E26" s="9"/>
      <c r="F26" s="9"/>
      <c r="G26" s="9"/>
    </row>
    <row r="27" spans="1:7" x14ac:dyDescent="0.2">
      <c r="A27" s="10"/>
      <c r="B27" s="8"/>
      <c r="C27" s="8"/>
      <c r="D27" s="12"/>
      <c r="E27" s="9"/>
      <c r="F27" s="9"/>
      <c r="G27" s="9"/>
    </row>
    <row r="28" spans="1:7" x14ac:dyDescent="0.2">
      <c r="A28" s="10"/>
      <c r="B28" s="8"/>
      <c r="C28" s="8"/>
      <c r="D28" s="12"/>
      <c r="E28" s="9"/>
      <c r="F28" s="9"/>
      <c r="G28" s="9"/>
    </row>
    <row r="29" spans="1:7" x14ac:dyDescent="0.2">
      <c r="A29" s="10"/>
      <c r="B29" s="8"/>
      <c r="C29" s="8"/>
      <c r="D29" s="12"/>
      <c r="E29" s="9"/>
      <c r="F29" s="9"/>
      <c r="G29" s="9"/>
    </row>
    <row r="30" spans="1:7" x14ac:dyDescent="0.2">
      <c r="A30" s="10"/>
      <c r="B30" s="8"/>
      <c r="C30" s="8"/>
      <c r="D30" s="12"/>
      <c r="E30" s="9"/>
      <c r="F30" s="9"/>
      <c r="G30" s="9"/>
    </row>
    <row r="31" spans="1:7" x14ac:dyDescent="0.2">
      <c r="A31" s="10"/>
      <c r="B31" s="8"/>
      <c r="C31" s="8"/>
      <c r="D31" s="12"/>
      <c r="E31" s="9"/>
      <c r="F31" s="9"/>
      <c r="G31" s="9"/>
    </row>
    <row r="32" spans="1:7" x14ac:dyDescent="0.2">
      <c r="A32" s="10"/>
      <c r="B32" s="8"/>
      <c r="C32" s="8"/>
      <c r="D32" s="12"/>
      <c r="E32" s="9"/>
      <c r="F32" s="9"/>
      <c r="G32" s="9"/>
    </row>
    <row r="33" spans="1:7" x14ac:dyDescent="0.2">
      <c r="A33" s="10"/>
      <c r="B33" s="8"/>
      <c r="C33" s="8"/>
      <c r="D33" s="12"/>
      <c r="E33" s="9"/>
      <c r="F33" s="9"/>
      <c r="G33" s="9"/>
    </row>
    <row r="34" spans="1:7" x14ac:dyDescent="0.2">
      <c r="A34" s="10"/>
      <c r="B34" s="8"/>
      <c r="C34" s="8"/>
      <c r="D34" s="12"/>
      <c r="E34" s="9"/>
      <c r="F34" s="9"/>
      <c r="G34" s="9"/>
    </row>
    <row r="35" spans="1:7" x14ac:dyDescent="0.2">
      <c r="A35" s="10"/>
      <c r="B35" s="8"/>
      <c r="C35" s="8"/>
      <c r="D35" s="12"/>
      <c r="E35" s="9"/>
      <c r="F35" s="9"/>
      <c r="G35" s="9"/>
    </row>
    <row r="36" spans="1:7" x14ac:dyDescent="0.2">
      <c r="A36" s="10"/>
      <c r="B36" s="8"/>
      <c r="C36" s="8"/>
      <c r="D36" s="12"/>
      <c r="E36" s="9"/>
      <c r="F36" s="9"/>
      <c r="G36" s="9"/>
    </row>
    <row r="37" spans="1:7" x14ac:dyDescent="0.2">
      <c r="A37" s="10"/>
      <c r="B37" s="8"/>
      <c r="C37" s="8"/>
      <c r="D37" s="12"/>
      <c r="E37" s="9"/>
      <c r="F37" s="9"/>
      <c r="G37" s="9"/>
    </row>
    <row r="38" spans="1:7" x14ac:dyDescent="0.2">
      <c r="A38" s="10"/>
      <c r="B38" s="8"/>
      <c r="C38" s="8"/>
      <c r="D38" s="12"/>
      <c r="E38" s="9"/>
      <c r="F38" s="9"/>
      <c r="G38" s="9"/>
    </row>
    <row r="39" spans="1:7" x14ac:dyDescent="0.2">
      <c r="A39" s="10"/>
      <c r="B39" s="8"/>
      <c r="C39" s="8"/>
      <c r="D39" s="12"/>
      <c r="E39" s="9"/>
      <c r="F39" s="9"/>
      <c r="G39" s="9"/>
    </row>
    <row r="40" spans="1:7" x14ac:dyDescent="0.2">
      <c r="A40" s="10"/>
      <c r="B40" s="8"/>
      <c r="C40" s="8"/>
      <c r="D40" s="12"/>
      <c r="E40" s="9"/>
      <c r="F40" s="9"/>
      <c r="G40" s="9"/>
    </row>
    <row r="41" spans="1:7" x14ac:dyDescent="0.2">
      <c r="A41" s="10"/>
      <c r="B41" s="8"/>
      <c r="C41" s="8"/>
      <c r="D41" s="12"/>
      <c r="E41" s="9"/>
      <c r="F41" s="9"/>
      <c r="G41" s="9"/>
    </row>
    <row r="42" spans="1:7" x14ac:dyDescent="0.2">
      <c r="A42" s="10"/>
      <c r="B42" s="8"/>
      <c r="C42" s="8"/>
      <c r="D42" s="12"/>
      <c r="E42" s="9"/>
      <c r="F42" s="9"/>
      <c r="G42" s="9"/>
    </row>
    <row r="43" spans="1:7" x14ac:dyDescent="0.2">
      <c r="A43" s="10"/>
      <c r="B43" s="8"/>
      <c r="C43" s="8"/>
      <c r="D43" s="12"/>
      <c r="E43" s="9"/>
      <c r="F43" s="9"/>
      <c r="G43" s="9"/>
    </row>
    <row r="44" spans="1:7" x14ac:dyDescent="0.2">
      <c r="A44" s="10"/>
      <c r="B44" s="8"/>
      <c r="C44" s="8"/>
      <c r="D44" s="12"/>
      <c r="E44" s="9"/>
      <c r="F44" s="9"/>
      <c r="G44" s="9"/>
    </row>
    <row r="45" spans="1:7" x14ac:dyDescent="0.2">
      <c r="A45" s="10"/>
      <c r="B45" s="8"/>
      <c r="C45" s="8"/>
      <c r="D45" s="12"/>
      <c r="E45" s="9"/>
      <c r="F45" s="9"/>
      <c r="G45" s="9"/>
    </row>
    <row r="46" spans="1:7" x14ac:dyDescent="0.2">
      <c r="A46" s="10"/>
      <c r="B46" s="8"/>
      <c r="C46" s="8"/>
      <c r="D46" s="12"/>
      <c r="E46" s="9"/>
      <c r="F46" s="9"/>
      <c r="G46" s="9"/>
    </row>
    <row r="47" spans="1:7" x14ac:dyDescent="0.2">
      <c r="A47" s="10"/>
      <c r="B47" s="8"/>
      <c r="C47" s="8"/>
      <c r="D47" s="12"/>
      <c r="E47" s="9"/>
      <c r="F47" s="9"/>
      <c r="G47" s="9"/>
    </row>
    <row r="48" spans="1:7" x14ac:dyDescent="0.2">
      <c r="A48" s="10"/>
      <c r="B48" s="8"/>
      <c r="C48" s="8"/>
      <c r="D48" s="12"/>
      <c r="E48" s="9"/>
      <c r="F48" s="9"/>
      <c r="G48" s="9"/>
    </row>
    <row r="49" spans="1:7" x14ac:dyDescent="0.2">
      <c r="A49" s="10"/>
      <c r="B49" s="8"/>
      <c r="C49" s="8"/>
      <c r="D49" s="12"/>
      <c r="E49" s="9"/>
      <c r="F49" s="9"/>
      <c r="G49" s="9"/>
    </row>
    <row r="50" spans="1:7" x14ac:dyDescent="0.2">
      <c r="A50" s="10"/>
      <c r="B50" s="8"/>
      <c r="C50" s="8"/>
      <c r="D50" s="12"/>
      <c r="E50" s="9"/>
      <c r="F50" s="9"/>
      <c r="G50" s="9"/>
    </row>
    <row r="51" spans="1:7" x14ac:dyDescent="0.2">
      <c r="A51" s="10"/>
      <c r="B51" s="8"/>
      <c r="C51" s="8"/>
      <c r="D51" s="12"/>
      <c r="E51" s="9"/>
      <c r="F51" s="9"/>
      <c r="G51" s="9"/>
    </row>
    <row r="52" spans="1:7" x14ac:dyDescent="0.2">
      <c r="A52" s="10"/>
      <c r="B52" s="8"/>
      <c r="C52" s="8"/>
      <c r="D52" s="12"/>
      <c r="E52" s="9"/>
      <c r="F52" s="9"/>
      <c r="G52" s="9"/>
    </row>
    <row r="53" spans="1:7" x14ac:dyDescent="0.2">
      <c r="A53" s="10"/>
      <c r="B53" s="8"/>
      <c r="C53" s="8"/>
      <c r="D53" s="12"/>
      <c r="E53" s="9"/>
      <c r="F53" s="9"/>
      <c r="G53" s="9"/>
    </row>
    <row r="54" spans="1:7" x14ac:dyDescent="0.2">
      <c r="A54" s="10"/>
      <c r="B54" s="8"/>
      <c r="C54" s="8"/>
      <c r="D54" s="12"/>
      <c r="E54" s="9"/>
      <c r="F54" s="9"/>
      <c r="G54" s="9"/>
    </row>
    <row r="55" spans="1:7" x14ac:dyDescent="0.2">
      <c r="A55" s="10"/>
      <c r="B55" s="8"/>
      <c r="C55" s="8"/>
      <c r="D55" s="12"/>
      <c r="E55" s="9"/>
      <c r="F55" s="9"/>
      <c r="G55" s="9"/>
    </row>
    <row r="56" spans="1:7" x14ac:dyDescent="0.2">
      <c r="A56" s="10"/>
      <c r="B56" s="8"/>
      <c r="C56" s="8"/>
      <c r="D56" s="12"/>
      <c r="E56" s="9"/>
      <c r="F56" s="9"/>
      <c r="G56" s="9"/>
    </row>
    <row r="57" spans="1:7" x14ac:dyDescent="0.2">
      <c r="A57" s="10"/>
      <c r="B57" s="8"/>
      <c r="C57" s="8"/>
      <c r="D57" s="12"/>
      <c r="E57" s="9"/>
      <c r="F57" s="9"/>
      <c r="G57" s="9"/>
    </row>
    <row r="58" spans="1:7" x14ac:dyDescent="0.2">
      <c r="A58" s="10"/>
      <c r="B58" s="8"/>
      <c r="C58" s="8"/>
      <c r="D58" s="12"/>
      <c r="E58" s="9"/>
      <c r="F58" s="9"/>
      <c r="G58" s="9"/>
    </row>
    <row r="59" spans="1:7" x14ac:dyDescent="0.2">
      <c r="A59" s="10"/>
      <c r="B59" s="8"/>
      <c r="C59" s="8"/>
      <c r="D59" s="12"/>
      <c r="E59" s="9"/>
      <c r="F59" s="9"/>
      <c r="G59" s="9"/>
    </row>
    <row r="60" spans="1:7" x14ac:dyDescent="0.2">
      <c r="A60" s="10"/>
      <c r="B60" s="8"/>
      <c r="C60" s="8"/>
      <c r="D60" s="12"/>
      <c r="E60" s="9"/>
      <c r="F60" s="9"/>
      <c r="G60" s="9"/>
    </row>
    <row r="61" spans="1:7" x14ac:dyDescent="0.2">
      <c r="D61" s="12"/>
      <c r="E61" s="9"/>
      <c r="F61" s="9"/>
      <c r="G61" s="9"/>
    </row>
    <row r="62" spans="1:7" x14ac:dyDescent="0.2">
      <c r="D62" s="12"/>
      <c r="E62" s="9"/>
      <c r="F62" s="9"/>
      <c r="G62" s="9"/>
    </row>
    <row r="63" spans="1:7" x14ac:dyDescent="0.2">
      <c r="D63" s="12"/>
      <c r="E63" s="9"/>
      <c r="F63" s="9"/>
      <c r="G63" s="9"/>
    </row>
    <row r="64" spans="1:7" x14ac:dyDescent="0.2">
      <c r="D64" s="12"/>
      <c r="E64" s="9"/>
      <c r="F64" s="9"/>
      <c r="G64" s="9"/>
    </row>
    <row r="65" spans="4:7" x14ac:dyDescent="0.2">
      <c r="D65" s="12"/>
      <c r="E65" s="9"/>
      <c r="F65" s="9"/>
      <c r="G65" s="9"/>
    </row>
    <row r="66" spans="4:7" x14ac:dyDescent="0.2">
      <c r="D66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A882-5239-4319-8052-63804E7B0ABD}">
  <dimension ref="A1"/>
  <sheetViews>
    <sheetView workbookViewId="0">
      <selection activeCell="K9" sqref="K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E123-6137-4473-BE53-F3B0CE8F10CD}">
  <dimension ref="A1"/>
  <sheetViews>
    <sheetView workbookViewId="0">
      <selection activeCell="A9" sqref="A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Closing levels</vt:lpstr>
      <vt:lpstr>US Equities</vt:lpstr>
      <vt:lpstr>WTI Crude</vt:lpstr>
      <vt:lpstr>US Tsy 10yr yield</vt:lpstr>
    </vt:vector>
  </TitlesOfParts>
  <Company>Duke University - Department of Economics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jgc14</dc:creator>
  <cp:lastModifiedBy>April Ren</cp:lastModifiedBy>
  <cp:lastPrinted>2018-08-12T16:55:01Z</cp:lastPrinted>
  <dcterms:created xsi:type="dcterms:W3CDTF">2014-08-20T18:14:23Z</dcterms:created>
  <dcterms:modified xsi:type="dcterms:W3CDTF">2026-09-09T16:14:24Z</dcterms:modified>
</cp:coreProperties>
</file>